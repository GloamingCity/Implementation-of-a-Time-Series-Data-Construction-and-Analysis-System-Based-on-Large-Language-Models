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人工评审" sheetId="1" r:id="rId1"/>
    <sheet name="评分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<sst xmlns="http://schemas.openxmlformats.org/spreadsheetml/2006/main" count="87" uniqueCount="75">
  <si>
    <t>评分标准</t>
  </si>
  <si>
    <t>sample_id</t>
  </si>
  <si>
    <t>relation</t>
  </si>
  <si>
    <t>dataset</t>
  </si>
  <si>
    <t>image_name</t>
  </si>
  <si>
    <t>R1_S1</t>
  </si>
  <si>
    <t>R1_S2</t>
  </si>
  <si>
    <t>R1_S3</t>
  </si>
  <si>
    <t>R1_S4</t>
  </si>
  <si>
    <t>R1_P</t>
  </si>
  <si>
    <t>R1_Total</t>
  </si>
  <si>
    <t>R2_S1</t>
  </si>
  <si>
    <t>R2_S2</t>
  </si>
  <si>
    <t>R2_S3</t>
  </si>
  <si>
    <t>R2_S4</t>
  </si>
  <si>
    <t>R2_P</t>
  </si>
  <si>
    <t>R2_Total</t>
  </si>
  <si>
    <t>R3_S1</t>
  </si>
  <si>
    <t>R3_S2</t>
  </si>
  <si>
    <t>R3_S3</t>
  </si>
  <si>
    <t>R3_S4</t>
  </si>
  <si>
    <t>R3_P</t>
  </si>
  <si>
    <t>R3_Total</t>
  </si>
  <si>
    <t>Avg_Total</t>
  </si>
  <si>
    <t>Reason</t>
  </si>
  <si>
    <t>Final_Level(High≥80/
Medium≥70/Low＜70)</t>
  </si>
  <si>
    <t>1. S1: 趋势与形态匹配 (满分 40 分)
核心评判：大方向对不对？（看窗口概览与分段描述中有关走势的描述）
35 - 40 分（准确）：描述与曲线的宏观走势（如单调递增、周期性震荡）完全咬合。即便有一些微小的噪声没提到，但不影响对整体形态的把握。各分段走势描述也很精准。
20 - 34 分（模糊）：大方向基本对，但丢了某个重要阶段。例如：实际曲线是“先平稳，后上升，再下降”，描述只写了“先平稳，后上升”，漏掉了最后的下降。（若只有一个分段有问题应为30分以上，两个分段有问题在25-29分，很多分段都有一点问题的20-24分）
10 - 19 分（差）：只能说对一小半，大部分形态描述是乱的。
0 - 9分（极差）：指鹿为马。明明是剧烈下降，描述却说是持续上升。
2. S2: 关键变化定位 (满分 30 分)
核心评判：分段的位置是否合理？峰、谷、突变点的位置抓得准不准？
25 - 30 分（精准）：分段位置比较合理。文本明确指出了关键事件（如异常尖峰、突降的深谷）在横轴上的大致位置，且与图片肉眼所见完全吻合。
10 - 24 分（模糊）：分段位置不太合理。（若异常突变点检测准确，但是分段不太合理应在此分数段内）
0 - 9 分（丢失）：图片上有极其显眼的异常尖峰或断崖式下跌，但文本完全没有提及。分段位置明显不合理。
3. S3: 幅度与波动强弱 (满分 20 分)
核心评判：形容词用得恰不恰当？
15 - 20 分（贴切）：用词准确。小锯齿用“微小波动/平稳”，大起大落用“剧烈震荡/急剧上升/深谷”。
5 - 14 分（夸大或缩小事实）：形容词使用不当。明明只是在均值附近很轻微的噪声，文本却用了“剧烈震荡”；或者明明是断崖式下跌，文本只轻描淡写地说“略有下降”。
0 - 4 分（完全错误）：一条几乎直线的平稳序列，文本疯狂描述它在“不断大幅波动”。
4. S4: 局部与整体一致性 (满分 10 分)
核心评判：文本自己有没有逻辑打架？
8 - 10 分（逻辑自洽）：窗口概览，分段描述，整体结论表述一致，逻辑不打架。
5 - 7 分（逻辑大致正确）：窗口概览，分段描述，整体结论表述有部分不合理，逻辑有些不一致。
0 - 4 分（完全矛盾）：逻辑死锁，上下文完全对不上，直接0分。
5. P: 幻觉惩罚 (最多扣 10 分)
核心评判：有没有“无中生有”？
-0 分（无幻觉）：文本里说的所有特征，图片里都能找到。
-1 - 5 分（轻度幻觉）：无中生有了一些不痛不痒的细节。比如把一个普通的波动硬说成是“具有某种规律的周期性特征”（其实肉眼看不出周期）。
-6 - 10 分（严重幻觉）：瞎编关键特征。图片里本来什么事都没发生，文本硬生生编造出“在末尾处出现了一个极端的异常高值”。</t>
  </si>
  <si>
    <t>S01</t>
  </si>
  <si>
    <t>positive</t>
  </si>
  <si>
    <t>Beef</t>
  </si>
  <si>
    <t>group03_L274_Beef_Beef_TRAIN_idx24_L274_start0.png</t>
  </si>
  <si>
    <t>分段描述第二段问题较大</t>
  </si>
  <si>
    <t>Medium</t>
  </si>
  <si>
    <t>S02</t>
  </si>
  <si>
    <t>BeetleFly</t>
  </si>
  <si>
    <t>group03_L288_BeetleFly_BeetleFly_TRAIN_idx11_L288_start0.png</t>
  </si>
  <si>
    <t>分段合理，描述准确</t>
  </si>
  <si>
    <t>High</t>
  </si>
  <si>
    <t>S06</t>
  </si>
  <si>
    <t>DiatomSizeReduction</t>
  </si>
  <si>
    <t>group03_L201_DiatomSizeReduction_DiatomSizeReduction_TRAIN_idx15_L201_start0.png</t>
  </si>
  <si>
    <t>分段不合理并且波动判断不合理，二者均应该是受到了曲线上微小噪声波动的影响，判定过于敏感</t>
  </si>
  <si>
    <t>Low</t>
  </si>
  <si>
    <t>S07</t>
  </si>
  <si>
    <t>ECG5000</t>
  </si>
  <si>
    <t>group03_L082_ECG5000_ECG5000_TRAIN_idx335_L82_start0.png</t>
  </si>
  <si>
    <t>分段描述第三段有略微的先降后升趋势，整体无伤大雅</t>
  </si>
  <si>
    <t>S08</t>
  </si>
  <si>
    <t>negative</t>
  </si>
  <si>
    <t>AbnormalHeartbeat</t>
  </si>
  <si>
    <t>group03_L288_AbnormalHeartbeat_AbnormalHeartbeat_idx331_L288_start12328.png</t>
  </si>
  <si>
    <t>分段描述第四阶段说区间震荡，描述略显模糊</t>
  </si>
  <si>
    <t>S10</t>
  </si>
  <si>
    <t>ArrowHead</t>
  </si>
  <si>
    <t>group03_L146_ArrowHead_ArrowHead_TRAIN_idx27_L146_start0.png</t>
  </si>
  <si>
    <t>窗口概览说多阶段起伏略显模块，分段描述第二阶段整体下降的描述略显模糊，可以增加分段或者描述的更细致</t>
  </si>
  <si>
    <t>S14</t>
  </si>
  <si>
    <t>BME</t>
  </si>
  <si>
    <t>group03_L076_BME_BME_TRAIN_idx25_L76_start0.png</t>
  </si>
  <si>
    <t>概览和整体结论说先降后升描述错误；分段勉强合理，第二段明明是陡升，说成了区间震荡，第三段很平稳说成了双峰起伏</t>
  </si>
  <si>
    <t>S18</t>
  </si>
  <si>
    <t>flat</t>
  </si>
  <si>
    <t>CricketY</t>
  </si>
  <si>
    <t>group03_L175_CricketY_CricketY_TRAIN_idx172_L175_start0.png</t>
  </si>
  <si>
    <t>分段描述第二段双谷起伏看不出来，第四段说了起伏很大，又说变化呈平缓，自相矛盾</t>
  </si>
  <si>
    <t>S21</t>
  </si>
  <si>
    <t>EOGHorizontalSignal</t>
  </si>
  <si>
    <t>group03_L288_EOGHorizontalSignal_EOGHorizontalSignal_TRAIN_idx212_L288_start116.png</t>
  </si>
  <si>
    <t>该窗口完全看不出来是9个时间点的周期，也完全看不出来高频震荡，描述的一塌糊涂</t>
  </si>
  <si>
    <t>人工评审说明（3位评审）</t>
  </si>
  <si>
    <t>1) 每位评审填写 S1/S2/S3/S4/P，系统自动计算各自 Total。</t>
  </si>
  <si>
    <t>2) Avg_Total 为三人均值。</t>
  </si>
  <si>
    <t>3) 若分歧大，请讨论后填写 Consensus_Total 与 Consensus_Reason。</t>
  </si>
  <si>
    <t>4) Final_Level 填 High/Medium/Low，用于后续筛选3高3中3低。</t>
  </si>
  <si>
    <t>5) 分值范围: S1[0,40], S2[0,30], S3[0,20], S4[0,10], P[0,10]（扣分项）。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</si>
</sst>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2"/>
  <sheetViews>
    <sheetView tabSelected="1" zoomScale="110" zoomScaleNormal="110" topLeftCell="K1" workbookViewId="0">
      <pane ySplit="1" topLeftCell="A4" activePane="bottomLeft" state="frozen"/>
      <selection/>
      <selection pane="bottomLeft" activeCell="Z11" sqref="Z11"/>
    </sheetView>
  </sheetViews>
  <sheetFormatPr defaultColWidth="9" defaultRowHeight="14"/>
  <cols>
    <col min="1" max="1" width="79.9909090909091" customWidth="1"/>
    <col min="2" max="2" width="10.8272727272727" customWidth="1"/>
    <col min="3" max="3" width="11.1545454545455" customWidth="1"/>
    <col min="4" max="4" width="27.1" customWidth="1"/>
    <col min="5" max="5" width="91.4818181818182" customWidth="1"/>
    <col min="6" max="9" width="8" customWidth="1"/>
    <col min="10" max="10" width="9.63636363636364" customWidth="1"/>
    <col min="11" max="11" width="9.49090909090909" customWidth="1"/>
    <col min="12" max="16" width="8" customWidth="1"/>
    <col min="17" max="17" width="9.33636363636364" customWidth="1"/>
    <col min="18" max="22" width="8" customWidth="1"/>
    <col min="23" max="23" width="9.57272727272727" customWidth="1"/>
    <col min="24" max="24" width="11.5636363636364" customWidth="1"/>
    <col min="25" max="25" width="55.6909090909091" style="2" customWidth="1"/>
    <col min="26" max="26" width="25.2" customWidth="1"/>
  </cols>
  <sheetData>
    <row r="1" ht="28" customHeight="1" spans="1:2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ht="28" customHeight="1" spans="1:26">
      <c r="A2" s="2" t="s">
        <v>26</v>
      </c>
      <c r="B2" s="4" t="s">
        <v>27</v>
      </c>
      <c r="C2" s="4" t="s">
        <v>28</v>
      </c>
      <c r="D2" s="4" t="s">
        <v>29</v>
      </c>
      <c r="E2" s="5" t="s">
        <v>30</v>
      </c>
      <c r="F2" s="4">
        <v>33</v>
      </c>
      <c r="G2" s="4">
        <v>27</v>
      </c>
      <c r="H2" s="4">
        <v>12</v>
      </c>
      <c r="I2" s="4">
        <v>0</v>
      </c>
      <c r="J2" s="4">
        <v>0</v>
      </c>
      <c r="K2" s="4">
        <f t="shared" ref="K2:K10" si="0">F2+G2+H2+I2-J2</f>
        <v>72</v>
      </c>
      <c r="L2" s="4">
        <v>30</v>
      </c>
      <c r="M2" s="4">
        <v>24</v>
      </c>
      <c r="N2" s="4">
        <v>14</v>
      </c>
      <c r="O2" s="4">
        <v>5</v>
      </c>
      <c r="P2" s="4">
        <v>1</v>
      </c>
      <c r="Q2" s="4">
        <f t="shared" ref="Q2:Q10" si="1">L2+M2+N2+O2-P2</f>
        <v>72</v>
      </c>
      <c r="R2" s="4">
        <v>30</v>
      </c>
      <c r="S2" s="4">
        <v>25</v>
      </c>
      <c r="T2" s="4">
        <v>14</v>
      </c>
      <c r="U2" s="4">
        <v>0</v>
      </c>
      <c r="V2" s="4">
        <v>0</v>
      </c>
      <c r="W2" s="4">
        <f t="shared" ref="W2:W10" si="2">R2+S2+T2+U2-V2</f>
        <v>69</v>
      </c>
      <c r="X2" s="4">
        <f t="shared" ref="X2:X10" si="3">AVERAGE(K2,Q2,W2)</f>
        <v>71</v>
      </c>
      <c r="Y2" s="2" t="s">
        <v>31</v>
      </c>
      <c r="Z2" s="4" t="s">
        <v>32</v>
      </c>
    </row>
    <row r="3" ht="28" customHeight="1" spans="1:26">
      <c r="B3" s="4" t="s">
        <v>33</v>
      </c>
      <c r="C3" s="4" t="s">
        <v>28</v>
      </c>
      <c r="D3" s="4" t="s">
        <v>34</v>
      </c>
      <c r="E3" s="5" t="s">
        <v>35</v>
      </c>
      <c r="F3" s="4">
        <v>38</v>
      </c>
      <c r="G3" s="4">
        <v>27</v>
      </c>
      <c r="H3" s="4">
        <v>18</v>
      </c>
      <c r="I3" s="4">
        <v>10</v>
      </c>
      <c r="J3" s="4">
        <v>0</v>
      </c>
      <c r="K3" s="4">
        <f t="shared" si="0"/>
        <v>93</v>
      </c>
      <c r="L3" s="4">
        <v>36</v>
      </c>
      <c r="M3" s="4">
        <v>20</v>
      </c>
      <c r="N3" s="4">
        <v>17</v>
      </c>
      <c r="O3" s="4">
        <v>10</v>
      </c>
      <c r="P3" s="4">
        <v>0</v>
      </c>
      <c r="Q3" s="4">
        <f t="shared" si="1"/>
        <v>83</v>
      </c>
      <c r="R3" s="4">
        <v>37</v>
      </c>
      <c r="S3" s="4">
        <v>28</v>
      </c>
      <c r="T3" s="4">
        <v>18</v>
      </c>
      <c r="U3" s="4">
        <v>9</v>
      </c>
      <c r="V3" s="4">
        <v>0</v>
      </c>
      <c r="W3" s="4">
        <f t="shared" si="2"/>
        <v>92</v>
      </c>
      <c r="X3" s="4">
        <f t="shared" si="3"/>
        <v>89.3333333333333</v>
      </c>
      <c r="Y3" s="2" t="s">
        <v>36</v>
      </c>
      <c r="Z3" s="4" t="s">
        <v>37</v>
      </c>
    </row>
    <row r="4" ht="28" customHeight="1" spans="1:26">
      <c r="B4" s="4" t="s">
        <v>38</v>
      </c>
      <c r="C4" s="4" t="s">
        <v>28</v>
      </c>
      <c r="D4" s="4" t="s">
        <v>39</v>
      </c>
      <c r="E4" s="5" t="s">
        <v>40</v>
      </c>
      <c r="F4" s="4">
        <v>22</v>
      </c>
      <c r="G4" s="4">
        <v>15</v>
      </c>
      <c r="H4" s="4">
        <v>10</v>
      </c>
      <c r="I4" s="4">
        <v>8</v>
      </c>
      <c r="J4" s="4">
        <v>6</v>
      </c>
      <c r="K4" s="4">
        <f t="shared" si="0"/>
        <v>49</v>
      </c>
      <c r="L4" s="4">
        <v>30</v>
      </c>
      <c r="M4" s="4">
        <v>10</v>
      </c>
      <c r="N4" s="4">
        <v>10</v>
      </c>
      <c r="O4" s="4">
        <v>8</v>
      </c>
      <c r="P4" s="4">
        <v>5</v>
      </c>
      <c r="Q4" s="4">
        <f t="shared" si="1"/>
        <v>53</v>
      </c>
      <c r="R4" s="4">
        <v>33</v>
      </c>
      <c r="S4" s="4">
        <v>18</v>
      </c>
      <c r="T4" s="4">
        <v>12</v>
      </c>
      <c r="U4" s="4">
        <v>7</v>
      </c>
      <c r="V4" s="4">
        <v>2</v>
      </c>
      <c r="W4" s="4">
        <f t="shared" si="2"/>
        <v>68</v>
      </c>
      <c r="X4" s="4">
        <f t="shared" si="3"/>
        <v>56.6666666666667</v>
      </c>
      <c r="Y4" s="2" t="s">
        <v>41</v>
      </c>
      <c r="Z4" s="4" t="s">
        <v>42</v>
      </c>
    </row>
    <row r="5" ht="28" customHeight="1" spans="1:26">
      <c r="B5" s="4" t="s">
        <v>43</v>
      </c>
      <c r="C5" s="4" t="s">
        <v>28</v>
      </c>
      <c r="D5" s="4" t="s">
        <v>44</v>
      </c>
      <c r="E5" s="5" t="s">
        <v>45</v>
      </c>
      <c r="F5" s="4">
        <v>31</v>
      </c>
      <c r="G5" s="4">
        <v>27</v>
      </c>
      <c r="H5" s="4">
        <v>18</v>
      </c>
      <c r="I5" s="4">
        <v>9</v>
      </c>
      <c r="J5" s="4">
        <v>0</v>
      </c>
      <c r="K5" s="4">
        <f t="shared" si="0"/>
        <v>85</v>
      </c>
      <c r="L5" s="4">
        <v>35</v>
      </c>
      <c r="M5" s="4">
        <v>25</v>
      </c>
      <c r="N5" s="4">
        <v>14</v>
      </c>
      <c r="O5" s="4">
        <v>6</v>
      </c>
      <c r="P5" s="4">
        <v>2</v>
      </c>
      <c r="Q5" s="4">
        <f t="shared" si="1"/>
        <v>78</v>
      </c>
      <c r="R5" s="4">
        <v>30</v>
      </c>
      <c r="S5" s="4">
        <v>28</v>
      </c>
      <c r="T5" s="4">
        <v>10</v>
      </c>
      <c r="U5" s="4">
        <v>5</v>
      </c>
      <c r="V5" s="4">
        <v>0</v>
      </c>
      <c r="W5" s="4">
        <f t="shared" si="2"/>
        <v>73</v>
      </c>
      <c r="X5" s="4">
        <f t="shared" si="3"/>
        <v>78.6666666666667</v>
      </c>
      <c r="Y5" s="2" t="s">
        <v>46</v>
      </c>
      <c r="Z5" s="4" t="s">
        <v>32</v>
      </c>
    </row>
    <row r="6" ht="28" customHeight="1" spans="1:26">
      <c r="B6" s="4" t="s">
        <v>47</v>
      </c>
      <c r="C6" s="4" t="s">
        <v>48</v>
      </c>
      <c r="D6" s="4" t="s">
        <v>49</v>
      </c>
      <c r="E6" s="5" t="s">
        <v>50</v>
      </c>
      <c r="F6" s="4">
        <v>34</v>
      </c>
      <c r="G6" s="4">
        <v>28</v>
      </c>
      <c r="H6" s="4">
        <v>18</v>
      </c>
      <c r="I6" s="4">
        <v>9</v>
      </c>
      <c r="J6" s="4">
        <v>0</v>
      </c>
      <c r="K6" s="4">
        <f t="shared" si="0"/>
        <v>89</v>
      </c>
      <c r="L6" s="4">
        <v>35</v>
      </c>
      <c r="M6" s="4">
        <v>25</v>
      </c>
      <c r="N6" s="4">
        <v>18</v>
      </c>
      <c r="O6" s="4">
        <v>10</v>
      </c>
      <c r="P6" s="4">
        <v>0</v>
      </c>
      <c r="Q6" s="4">
        <f t="shared" si="1"/>
        <v>88</v>
      </c>
      <c r="R6" s="4">
        <v>35</v>
      </c>
      <c r="S6" s="4">
        <v>25</v>
      </c>
      <c r="T6" s="4">
        <v>16</v>
      </c>
      <c r="U6" s="4">
        <v>8</v>
      </c>
      <c r="V6" s="4">
        <v>0</v>
      </c>
      <c r="W6" s="4">
        <f t="shared" si="2"/>
        <v>84</v>
      </c>
      <c r="X6" s="4">
        <f t="shared" si="3"/>
        <v>87</v>
      </c>
      <c r="Y6" s="2" t="s">
        <v>51</v>
      </c>
      <c r="Z6" s="4" t="s">
        <v>37</v>
      </c>
    </row>
    <row r="7" ht="28" customHeight="1" spans="1:26">
      <c r="B7" s="4" t="s">
        <v>52</v>
      </c>
      <c r="C7" s="4" t="s">
        <v>48</v>
      </c>
      <c r="D7" s="4" t="s">
        <v>53</v>
      </c>
      <c r="E7" s="5" t="s">
        <v>54</v>
      </c>
      <c r="F7" s="4">
        <v>31</v>
      </c>
      <c r="G7" s="4">
        <v>27</v>
      </c>
      <c r="H7" s="4">
        <v>15</v>
      </c>
      <c r="I7" s="4">
        <v>8</v>
      </c>
      <c r="J7" s="4">
        <v>0</v>
      </c>
      <c r="K7" s="4">
        <f t="shared" si="0"/>
        <v>81</v>
      </c>
      <c r="L7" s="4">
        <v>33</v>
      </c>
      <c r="M7" s="4">
        <v>25</v>
      </c>
      <c r="N7" s="4">
        <v>18</v>
      </c>
      <c r="O7" s="4">
        <v>10</v>
      </c>
      <c r="P7" s="4">
        <v>0</v>
      </c>
      <c r="Q7" s="4">
        <f t="shared" si="1"/>
        <v>86</v>
      </c>
      <c r="R7" s="4">
        <v>35</v>
      </c>
      <c r="S7" s="4">
        <v>25</v>
      </c>
      <c r="T7" s="4">
        <v>16</v>
      </c>
      <c r="U7" s="4">
        <v>8</v>
      </c>
      <c r="V7" s="4">
        <v>0</v>
      </c>
      <c r="W7" s="4">
        <f t="shared" si="2"/>
        <v>84</v>
      </c>
      <c r="X7" s="4">
        <f t="shared" si="3"/>
        <v>83.6666666666667</v>
      </c>
      <c r="Y7" s="2" t="s">
        <v>55</v>
      </c>
      <c r="Z7" s="4" t="s">
        <v>37</v>
      </c>
    </row>
    <row r="8" ht="28" customHeight="1" spans="1:26">
      <c r="B8" s="4" t="s">
        <v>56</v>
      </c>
      <c r="C8" s="4" t="s">
        <v>48</v>
      </c>
      <c r="D8" s="4" t="s">
        <v>57</v>
      </c>
      <c r="E8" s="5" t="s">
        <v>58</v>
      </c>
      <c r="F8" s="4">
        <v>9</v>
      </c>
      <c r="G8" s="4">
        <v>25</v>
      </c>
      <c r="H8" s="4">
        <v>13</v>
      </c>
      <c r="I8" s="4">
        <v>6</v>
      </c>
      <c r="J8" s="4">
        <v>8</v>
      </c>
      <c r="K8" s="4">
        <f t="shared" si="0"/>
        <v>45</v>
      </c>
      <c r="L8" s="4">
        <v>10</v>
      </c>
      <c r="M8" s="4">
        <v>25</v>
      </c>
      <c r="N8" s="4">
        <v>12</v>
      </c>
      <c r="O8" s="4">
        <v>10</v>
      </c>
      <c r="P8" s="4">
        <v>10</v>
      </c>
      <c r="Q8" s="4">
        <f t="shared" si="1"/>
        <v>47</v>
      </c>
      <c r="R8" s="4">
        <v>10</v>
      </c>
      <c r="S8" s="4">
        <v>15</v>
      </c>
      <c r="T8" s="4">
        <v>10</v>
      </c>
      <c r="U8" s="4">
        <v>0</v>
      </c>
      <c r="V8" s="4">
        <v>10</v>
      </c>
      <c r="W8" s="4">
        <f t="shared" si="2"/>
        <v>25</v>
      </c>
      <c r="X8" s="4">
        <f t="shared" si="3"/>
        <v>39</v>
      </c>
      <c r="Y8" s="2" t="s">
        <v>59</v>
      </c>
      <c r="Z8" s="4" t="s">
        <v>42</v>
      </c>
    </row>
    <row r="9" ht="28" customHeight="1" spans="1:26">
      <c r="B9" s="4" t="s">
        <v>60</v>
      </c>
      <c r="C9" s="4" t="s">
        <v>61</v>
      </c>
      <c r="D9" s="4" t="s">
        <v>62</v>
      </c>
      <c r="E9" s="5" t="s">
        <v>63</v>
      </c>
      <c r="F9" s="4">
        <v>26</v>
      </c>
      <c r="G9" s="4">
        <v>25</v>
      </c>
      <c r="H9" s="4">
        <v>14</v>
      </c>
      <c r="I9" s="4">
        <v>0</v>
      </c>
      <c r="J9" s="4">
        <v>0</v>
      </c>
      <c r="K9" s="4">
        <f t="shared" si="0"/>
        <v>65</v>
      </c>
      <c r="L9" s="4">
        <v>30</v>
      </c>
      <c r="M9" s="4">
        <v>22</v>
      </c>
      <c r="N9" s="4">
        <v>10</v>
      </c>
      <c r="O9" s="4">
        <v>5</v>
      </c>
      <c r="P9" s="4">
        <v>0</v>
      </c>
      <c r="Q9" s="4">
        <f t="shared" si="1"/>
        <v>67</v>
      </c>
      <c r="R9" s="4">
        <v>20</v>
      </c>
      <c r="S9" s="4">
        <v>25</v>
      </c>
      <c r="T9" s="4">
        <v>8</v>
      </c>
      <c r="U9" s="4">
        <v>5</v>
      </c>
      <c r="V9" s="4">
        <v>1</v>
      </c>
      <c r="W9" s="4">
        <f t="shared" si="2"/>
        <v>57</v>
      </c>
      <c r="X9" s="4">
        <f t="shared" si="3"/>
        <v>63</v>
      </c>
      <c r="Y9" s="2" t="s">
        <v>64</v>
      </c>
      <c r="Z9" s="4" t="s">
        <v>32</v>
      </c>
    </row>
    <row r="10" ht="28" customHeight="1" spans="1:26">
      <c r="B10" s="4" t="s">
        <v>65</v>
      </c>
      <c r="C10" s="4" t="s">
        <v>61</v>
      </c>
      <c r="D10" s="4" t="s">
        <v>66</v>
      </c>
      <c r="E10" s="5" t="s">
        <v>67</v>
      </c>
      <c r="F10" s="4">
        <v>0</v>
      </c>
      <c r="G10" s="4">
        <v>0</v>
      </c>
      <c r="H10" s="4">
        <v>0</v>
      </c>
      <c r="I10" s="4">
        <v>8</v>
      </c>
      <c r="J10" s="4">
        <v>10</v>
      </c>
      <c r="K10" s="4">
        <f t="shared" si="0"/>
        <v>-2</v>
      </c>
      <c r="L10" s="4">
        <v>0</v>
      </c>
      <c r="M10" s="4">
        <v>0</v>
      </c>
      <c r="N10" s="4">
        <v>0</v>
      </c>
      <c r="O10" s="4">
        <v>9</v>
      </c>
      <c r="P10" s="4">
        <v>10</v>
      </c>
      <c r="Q10" s="4">
        <f t="shared" si="1"/>
        <v>-1</v>
      </c>
      <c r="R10" s="4">
        <v>2</v>
      </c>
      <c r="S10" s="4">
        <v>0</v>
      </c>
      <c r="T10" s="4">
        <v>2</v>
      </c>
      <c r="U10" s="4">
        <v>6</v>
      </c>
      <c r="V10" s="4">
        <v>10</v>
      </c>
      <c r="W10" s="4">
        <f t="shared" si="2"/>
        <v>0</v>
      </c>
      <c r="X10" s="4">
        <f t="shared" si="3"/>
        <v>-1</v>
      </c>
      <c r="Y10" s="2" t="s">
        <v>68</v>
      </c>
      <c r="Z10" s="4" t="s">
        <v>42</v>
      </c>
    </row>
    <row r="11" ht="28" customHeight="1"/>
    <row r="12" ht="28" customHeight="1"/>
    <row r="13" ht="28" customHeight="1"/>
    <row r="14" ht="28" customHeight="1"/>
    <row r="15" ht="28" customHeight="1"/>
    <row r="16" ht="28" customHeight="1"/>
    <row r="17" ht="28" customHeight="1"/>
    <row r="18" ht="28" customHeight="1"/>
    <row r="19" ht="28" customHeight="1"/>
    <row r="20" ht="28" customHeight="1"/>
    <row r="21" ht="28" customHeight="1"/>
    <row r="22" ht="28" customHeight="1"/>
  </sheetData>
  <mergeCells count="1">
    <mergeCell ref="A2:A2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A1" sqref="A1"/>
    </sheetView>
  </sheetViews>
  <sheetFormatPr defaultColWidth="9" defaultRowHeight="14" outlineLevelRow="5"/>
  <cols>
    <col min="1" max="1" width="120" customWidth="1"/>
  </cols>
  <sheetData>
    <row r="1" spans="1:1">
      <c r="A1" s="1" t="s">
        <v>69</v>
      </c>
    </row>
    <row r="2" spans="1:1">
      <c r="A2" s="1" t="s">
        <v>70</v>
      </c>
    </row>
    <row r="3" spans="1:1">
      <c r="A3" s="1" t="s">
        <v>71</v>
      </c>
    </row>
    <row r="4" spans="1:1">
      <c r="A4" s="1" t="s">
        <v>72</v>
      </c>
    </row>
    <row r="5" spans="1:1">
      <c r="A5" s="1" t="s">
        <v>73</v>
      </c>
    </row>
    <row r="6" spans="1:1">
      <c r="A6" s="1" t="s">
        <v>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人工评审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陈煜东</cp:lastModifiedBy>
  <dcterms:created xsi:type="dcterms:W3CDTF">2026-03-31T11:00:00Z</dcterms:created>
  <dcterms:modified xsi:type="dcterms:W3CDTF">2026-04-09T15:04:45Z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33239BCFA2B6429E8A0CB8EB55540ED6_12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